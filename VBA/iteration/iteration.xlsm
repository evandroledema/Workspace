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vand\Documents\engenharia eletrica\Distribuição\2020_2\prova01\"/>
    </mc:Choice>
  </mc:AlternateContent>
  <xr:revisionPtr revIDLastSave="0" documentId="13_ncr:1_{413B0489-F26F-459B-83EB-2DBE9C81A61D}" xr6:coauthVersionLast="47" xr6:coauthVersionMax="47" xr10:uidLastSave="{00000000-0000-0000-0000-000000000000}"/>
  <bookViews>
    <workbookView xWindow="-120" yWindow="-120" windowWidth="20730" windowHeight="11310" xr2:uid="{47DF238A-5341-4EAB-A9F3-B44A0A5E863C}"/>
  </bookViews>
  <sheets>
    <sheet name="Exercicio" sheetId="3" r:id="rId1"/>
    <sheet name="constantesFisicasDoAr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44" i="3" l="1"/>
  <c r="D24" i="3"/>
  <c r="B18" i="3"/>
  <c r="B17" i="3"/>
  <c r="C33" i="3" s="1"/>
  <c r="B16" i="3"/>
  <c r="C34" i="3" s="1"/>
  <c r="B13" i="3"/>
  <c r="I25" i="3" a="1"/>
  <c r="I25" i="3" s="1"/>
  <c r="H25" i="3" a="1"/>
  <c r="H25" i="3" s="1"/>
  <c r="H31" i="3" l="1"/>
  <c r="H29" i="3"/>
  <c r="H27" i="3"/>
  <c r="I31" i="3"/>
  <c r="I29" i="3"/>
  <c r="I27" i="3"/>
  <c r="E27" i="3" l="1"/>
  <c r="E28" i="3"/>
  <c r="E29" i="3"/>
  <c r="C31" i="3" l="1"/>
  <c r="C32" i="3" s="1"/>
  <c r="C35" i="3" s="1"/>
  <c r="C36" i="3" l="1"/>
  <c r="C37" i="3" s="1"/>
  <c r="C38" i="3" s="1"/>
  <c r="F37" i="3" s="1"/>
</calcChain>
</file>

<file path=xl/sharedStrings.xml><?xml version="1.0" encoding="utf-8"?>
<sst xmlns="http://schemas.openxmlformats.org/spreadsheetml/2006/main" count="96" uniqueCount="83">
  <si>
    <t>Tabela 3.4</t>
  </si>
  <si>
    <t>- Constantes</t>
  </si>
  <si>
    <t>físicas do ar</t>
  </si>
  <si>
    <t>Temperatura</t>
  </si>
  <si>
    <t>Viscosidade</t>
  </si>
  <si>
    <t>Densidade do ar em</t>
  </si>
  <si>
    <t>função da altitude</t>
  </si>
  <si>
    <t>(kg/m))</t>
  </si>
  <si>
    <t>Condutividade</t>
  </si>
  <si>
    <t>(°C)</t>
  </si>
  <si>
    <t>(kg/m.h)</t>
  </si>
  <si>
    <t>h = 0,0 m</t>
  </si>
  <si>
    <t>h=1.524 m</t>
  </si>
  <si>
    <t>h=3.048 m</t>
  </si>
  <si>
    <t>h=4.572 m</t>
  </si>
  <si>
    <t>térmica (W/m.K)</t>
  </si>
  <si>
    <t>Iteração
Número</t>
  </si>
  <si>
    <t>Temperatura
Média
°C</t>
  </si>
  <si>
    <t>Densidade
kg/m^3</t>
  </si>
  <si>
    <t>Viscosidade
kg/m.h</t>
  </si>
  <si>
    <t>Número Reynolds</t>
  </si>
  <si>
    <t>Convecção
W/km</t>
  </si>
  <si>
    <t>Irradiação
W/km</t>
  </si>
  <si>
    <t>Temperatura
Condutor
°C</t>
  </si>
  <si>
    <t>Delta
°C</t>
  </si>
  <si>
    <t>Resultados por iteração</t>
  </si>
  <si>
    <t>Exercício 2</t>
  </si>
  <si>
    <t>Para um condutor protegido são dados:</t>
  </si>
  <si>
    <t>1. Diâmetro do condutor: 12,4 mm;</t>
  </si>
  <si>
    <t>2. Temperatura de regime permanente: 90°C;</t>
  </si>
  <si>
    <t>3. Resistência do condutor em corrente alternada na temperatura de operação: 0,1589 Ω/km</t>
  </si>
  <si>
    <t>4. Material de proteção EP, com resistividade térmica 3,5 mK/W</t>
  </si>
  <si>
    <t>5. Diâmetro externo da capa de proteção: 22 mm</t>
  </si>
  <si>
    <t>6. Instalação ao nível do mar, velocidade do vento de 2 km/h e temperatura ambiente de 30°C.</t>
  </si>
  <si>
    <t>7. Emissividade da superfície do condutor 0,5.</t>
  </si>
  <si>
    <t>Pede-se determinar a corrente de regime permanente de modo que o condutor opere com sua temperatura estabelecida.</t>
  </si>
  <si>
    <t>Dados:</t>
  </si>
  <si>
    <t>m</t>
  </si>
  <si>
    <t>°C</t>
  </si>
  <si>
    <t>Ω/km</t>
  </si>
  <si>
    <t>K/W</t>
  </si>
  <si>
    <t>m/h</t>
  </si>
  <si>
    <t>Chute inicial, assume-se uma temperatura de 89°C, um pouco inferior à do condutor.</t>
  </si>
  <si>
    <t xml:space="preserve">Temperatura ambiente: </t>
  </si>
  <si>
    <t>chute inicial</t>
  </si>
  <si>
    <t>Temperatura média</t>
  </si>
  <si>
    <t>Densidade do Ar</t>
  </si>
  <si>
    <t>Viscosidade do Ar</t>
  </si>
  <si>
    <t>Condutividade Térmica do AR</t>
  </si>
  <si>
    <t>kg/m^3</t>
  </si>
  <si>
    <t>kg/m.h</t>
  </si>
  <si>
    <t>W/m.K</t>
  </si>
  <si>
    <t>Qconv</t>
  </si>
  <si>
    <t>R</t>
  </si>
  <si>
    <t>W/km</t>
  </si>
  <si>
    <t>Qirr</t>
  </si>
  <si>
    <t>Rtérm</t>
  </si>
  <si>
    <t>Thetacond</t>
  </si>
  <si>
    <t>Delta</t>
  </si>
  <si>
    <t>°C/W.km</t>
  </si>
  <si>
    <t>nTemp</t>
  </si>
  <si>
    <t>TempH</t>
  </si>
  <si>
    <t>TempL</t>
  </si>
  <si>
    <t>DensH</t>
  </si>
  <si>
    <t>DensL</t>
  </si>
  <si>
    <t>CondH</t>
  </si>
  <si>
    <t>CondL</t>
  </si>
  <si>
    <t>VisH</t>
  </si>
  <si>
    <t>VisL</t>
  </si>
  <si>
    <t>Interpolação</t>
  </si>
  <si>
    <t>Temperatura média inicial</t>
  </si>
  <si>
    <t>Nova Temp média</t>
  </si>
  <si>
    <t>Nova Temp</t>
  </si>
  <si>
    <t>TempCond</t>
  </si>
  <si>
    <t>RUN</t>
  </si>
  <si>
    <t>limpa as iterações e volta ao chute inicial</t>
  </si>
  <si>
    <t>STEP</t>
  </si>
  <si>
    <t>roda uma iteração por vez</t>
  </si>
  <si>
    <t>rodas todas as iterações até convergir &amp; SET</t>
  </si>
  <si>
    <t>CLR/SET</t>
  </si>
  <si>
    <t>Temp Final</t>
  </si>
  <si>
    <t>Corrente MAX</t>
  </si>
  <si>
    <t>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</si>
</sst>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"/>
    <numFmt numFmtId="165" formatCode="0.0000"/>
  </numFmts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Times New Roman"/>
      <family val="1"/>
    </font>
    <font>
      <b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F0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dotted">
        <color auto="1"/>
      </left>
      <right/>
      <top/>
      <bottom/>
      <diagonal/>
    </border>
    <border>
      <left style="dotted">
        <color auto="1"/>
      </left>
      <right/>
      <top style="medium">
        <color indexed="64"/>
      </top>
      <bottom/>
      <diagonal/>
    </border>
    <border>
      <left style="dotted">
        <color auto="1"/>
      </left>
      <right/>
      <top/>
      <bottom style="medium">
        <color indexed="64"/>
      </bottom>
      <diagonal/>
    </border>
    <border>
      <left style="thin">
        <color rgb="FF00B050"/>
      </left>
      <right/>
      <top style="thin">
        <color rgb="FF00B050"/>
      </top>
      <bottom/>
      <diagonal/>
    </border>
    <border>
      <left/>
      <right/>
      <top style="thin">
        <color rgb="FF00B050"/>
      </top>
      <bottom/>
      <diagonal/>
    </border>
    <border>
      <left/>
      <right style="thin">
        <color rgb="FF00B050"/>
      </right>
      <top style="thin">
        <color rgb="FF00B050"/>
      </top>
      <bottom/>
      <diagonal/>
    </border>
    <border>
      <left style="thin">
        <color rgb="FF00B050"/>
      </left>
      <right/>
      <top/>
      <bottom/>
      <diagonal/>
    </border>
    <border>
      <left/>
      <right style="thin">
        <color rgb="FF00B050"/>
      </right>
      <top/>
      <bottom/>
      <diagonal/>
    </border>
  </borders>
  <cellStyleXfs count="1">
    <xf numFmtId="0" fontId="0" fillId="0" borderId="0"/>
  </cellStyleXfs>
  <cellXfs count="55">
    <xf numFmtId="0" fontId="0" fillId="0" borderId="0" xfId="0"/>
    <xf numFmtId="0" fontId="0" fillId="0" borderId="0" xfId="0" applyAlignment="1">
      <alignment horizontal="center" vertical="center"/>
    </xf>
    <xf numFmtId="0" fontId="0" fillId="3" borderId="1" xfId="0" applyFill="1" applyBorder="1" applyAlignment="1">
      <alignment horizontal="centerContinuous"/>
    </xf>
    <xf numFmtId="0" fontId="0" fillId="3" borderId="2" xfId="0" applyFill="1" applyBorder="1" applyAlignment="1">
      <alignment horizontal="centerContinuous"/>
    </xf>
    <xf numFmtId="0" fontId="0" fillId="3" borderId="3" xfId="0" applyFill="1" applyBorder="1" applyAlignment="1">
      <alignment horizontal="centerContinuous"/>
    </xf>
    <xf numFmtId="0" fontId="0" fillId="2" borderId="4" xfId="0" applyFill="1" applyBorder="1" applyAlignment="1">
      <alignment horizontal="center" vertical="center" wrapText="1"/>
    </xf>
    <xf numFmtId="0" fontId="0" fillId="2" borderId="5" xfId="0" applyFill="1" applyBorder="1" applyAlignment="1">
      <alignment horizontal="center" vertical="center" wrapText="1"/>
    </xf>
    <xf numFmtId="0" fontId="0" fillId="2" borderId="6" xfId="0" applyFill="1" applyBorder="1" applyAlignment="1">
      <alignment horizontal="center" vertical="center" wrapText="1"/>
    </xf>
    <xf numFmtId="0" fontId="0" fillId="4" borderId="1" xfId="0" applyFill="1" applyBorder="1"/>
    <xf numFmtId="0" fontId="0" fillId="4" borderId="2" xfId="0" applyFill="1" applyBorder="1"/>
    <xf numFmtId="0" fontId="0" fillId="4" borderId="3" xfId="0" applyFill="1" applyBorder="1"/>
    <xf numFmtId="0" fontId="0" fillId="3" borderId="7" xfId="0" applyFill="1" applyBorder="1" applyAlignment="1">
      <alignment horizontal="center" vertical="center"/>
    </xf>
    <xf numFmtId="0" fontId="0" fillId="2" borderId="0" xfId="0" applyFill="1" applyBorder="1"/>
    <xf numFmtId="0" fontId="0" fillId="2" borderId="8" xfId="0" applyFill="1" applyBorder="1"/>
    <xf numFmtId="0" fontId="0" fillId="3" borderId="4" xfId="0" applyFill="1" applyBorder="1" applyAlignment="1">
      <alignment horizontal="center" vertical="center"/>
    </xf>
    <xf numFmtId="0" fontId="0" fillId="2" borderId="5" xfId="0" applyFill="1" applyBorder="1"/>
    <xf numFmtId="0" fontId="0" fillId="2" borderId="6" xfId="0" applyFill="1" applyBorder="1"/>
    <xf numFmtId="0" fontId="0" fillId="3" borderId="1" xfId="0" applyFill="1" applyBorder="1"/>
    <xf numFmtId="0" fontId="0" fillId="3" borderId="2" xfId="0" applyFill="1" applyBorder="1"/>
    <xf numFmtId="0" fontId="0" fillId="3" borderId="4" xfId="0" applyFill="1" applyBorder="1"/>
    <xf numFmtId="0" fontId="0" fillId="3" borderId="5" xfId="0" applyFill="1" applyBorder="1"/>
    <xf numFmtId="0" fontId="0" fillId="2" borderId="2" xfId="0" applyFill="1" applyBorder="1"/>
    <xf numFmtId="0" fontId="0" fillId="2" borderId="3" xfId="0" applyFill="1" applyBorder="1"/>
    <xf numFmtId="0" fontId="0" fillId="3" borderId="7" xfId="0" applyFill="1" applyBorder="1"/>
    <xf numFmtId="0" fontId="0" fillId="3" borderId="0" xfId="0" applyFill="1" applyBorder="1"/>
    <xf numFmtId="164" fontId="0" fillId="2" borderId="2" xfId="0" applyNumberFormat="1" applyFill="1" applyBorder="1"/>
    <xf numFmtId="164" fontId="0" fillId="2" borderId="0" xfId="0" applyNumberFormat="1" applyFill="1" applyBorder="1"/>
    <xf numFmtId="164" fontId="0" fillId="2" borderId="5" xfId="0" applyNumberFormat="1" applyFill="1" applyBorder="1"/>
    <xf numFmtId="165" fontId="0" fillId="2" borderId="10" xfId="0" applyNumberFormat="1" applyFill="1" applyBorder="1"/>
    <xf numFmtId="165" fontId="0" fillId="2" borderId="9" xfId="0" applyNumberFormat="1" applyFill="1" applyBorder="1"/>
    <xf numFmtId="165" fontId="0" fillId="2" borderId="11" xfId="0" applyNumberFormat="1" applyFill="1" applyBorder="1"/>
    <xf numFmtId="0" fontId="0" fillId="3" borderId="1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0" fontId="0" fillId="3" borderId="3" xfId="0" applyFill="1" applyBorder="1"/>
    <xf numFmtId="0" fontId="0" fillId="2" borderId="4" xfId="0" applyFill="1" applyBorder="1"/>
    <xf numFmtId="0" fontId="2" fillId="5" borderId="0" xfId="0" applyFont="1" applyFill="1" applyBorder="1"/>
    <xf numFmtId="0" fontId="2" fillId="5" borderId="12" xfId="0" applyFont="1" applyFill="1" applyBorder="1"/>
    <xf numFmtId="0" fontId="2" fillId="5" borderId="13" xfId="0" applyFont="1" applyFill="1" applyBorder="1"/>
    <xf numFmtId="0" fontId="2" fillId="5" borderId="14" xfId="0" applyFont="1" applyFill="1" applyBorder="1"/>
    <xf numFmtId="0" fontId="2" fillId="5" borderId="15" xfId="0" applyFont="1" applyFill="1" applyBorder="1"/>
    <xf numFmtId="0" fontId="2" fillId="5" borderId="16" xfId="0" applyFont="1" applyFill="1" applyBorder="1"/>
    <xf numFmtId="165" fontId="0" fillId="0" borderId="0" xfId="0" applyNumberFormat="1" applyAlignment="1">
      <alignment horizontal="center"/>
    </xf>
    <xf numFmtId="0" fontId="3" fillId="7" borderId="4" xfId="0" applyFont="1" applyFill="1" applyBorder="1"/>
    <xf numFmtId="0" fontId="3" fillId="6" borderId="1" xfId="0" applyFont="1" applyFill="1" applyBorder="1"/>
    <xf numFmtId="0" fontId="3" fillId="6" borderId="3" xfId="0" applyFont="1" applyFill="1" applyBorder="1"/>
    <xf numFmtId="0" fontId="3" fillId="7" borderId="6" xfId="0" applyFont="1" applyFill="1" applyBorder="1"/>
    <xf numFmtId="0" fontId="3" fillId="2" borderId="4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left" vertical="center"/>
    </xf>
    <xf numFmtId="0" fontId="3" fillId="3" borderId="3" xfId="0" applyFont="1" applyFill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285750</xdr:colOff>
          <xdr:row>31</xdr:row>
          <xdr:rowOff>152400</xdr:rowOff>
        </xdr:from>
        <xdr:to>
          <xdr:col>8</xdr:col>
          <xdr:colOff>314325</xdr:colOff>
          <xdr:row>33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304800</xdr:colOff>
          <xdr:row>34</xdr:row>
          <xdr:rowOff>142875</xdr:rowOff>
        </xdr:from>
        <xdr:to>
          <xdr:col>8</xdr:col>
          <xdr:colOff>333375</xdr:colOff>
          <xdr:row>36</xdr:row>
          <xdr:rowOff>142875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542925</xdr:colOff>
          <xdr:row>31</xdr:row>
          <xdr:rowOff>142875</xdr:rowOff>
        </xdr:from>
        <xdr:to>
          <xdr:col>9</xdr:col>
          <xdr:colOff>381000</xdr:colOff>
          <xdr:row>33</xdr:row>
          <xdr:rowOff>142875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CLR/SET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0CE901-1B4E-42E1-9A7C-59BAD97CB7D6}">
  <sheetPr codeName="Sheet3">
    <tabColor rgb="FFFF0000"/>
  </sheetPr>
  <dimension ref="A1:O50"/>
  <sheetViews>
    <sheetView showGridLines="0" tabSelected="1" topLeftCell="A31" zoomScale="85" zoomScaleNormal="85" workbookViewId="0">
      <selection activeCell="O41" sqref="O41"/>
    </sheetView>
  </sheetViews>
  <sheetFormatPr defaultRowHeight="15" x14ac:dyDescent="0.25"/>
  <cols>
    <col min="1" max="1" width="9.140625" customWidth="1"/>
    <col min="2" max="2" width="10.7109375" customWidth="1"/>
    <col min="3" max="3" width="13.85546875" customWidth="1"/>
    <col min="4" max="4" width="10.85546875" customWidth="1"/>
    <col min="5" max="5" width="11.7109375" customWidth="1"/>
    <col min="6" max="6" width="10.5703125" bestFit="1" customWidth="1"/>
    <col min="7" max="7" width="11.5703125" customWidth="1"/>
    <col min="8" max="8" width="11" customWidth="1"/>
    <col min="9" max="9" width="13.85546875" customWidth="1"/>
    <col min="10" max="10" width="10.28515625" bestFit="1" customWidth="1"/>
    <col min="15" max="15" width="13.140625" customWidth="1"/>
    <col min="16" max="16" width="12.140625" customWidth="1"/>
  </cols>
  <sheetData>
    <row r="1" spans="1:5" x14ac:dyDescent="0.25">
      <c r="A1" t="s">
        <v>26</v>
      </c>
    </row>
    <row r="2" spans="1:5" x14ac:dyDescent="0.25">
      <c r="A2" t="s">
        <v>27</v>
      </c>
    </row>
    <row r="3" spans="1:5" x14ac:dyDescent="0.25">
      <c r="A3" t="s">
        <v>28</v>
      </c>
    </row>
    <row r="4" spans="1:5" x14ac:dyDescent="0.25">
      <c r="A4" t="s">
        <v>29</v>
      </c>
    </row>
    <row r="5" spans="1:5" x14ac:dyDescent="0.25">
      <c r="A5" t="s">
        <v>30</v>
      </c>
    </row>
    <row r="6" spans="1:5" x14ac:dyDescent="0.25">
      <c r="A6" t="s">
        <v>31</v>
      </c>
    </row>
    <row r="7" spans="1:5" x14ac:dyDescent="0.25">
      <c r="A7" t="s">
        <v>32</v>
      </c>
    </row>
    <row r="8" spans="1:5" x14ac:dyDescent="0.25">
      <c r="A8" t="s">
        <v>33</v>
      </c>
    </row>
    <row r="9" spans="1:5" x14ac:dyDescent="0.25">
      <c r="A9" t="s">
        <v>34</v>
      </c>
    </row>
    <row r="10" spans="1:5" x14ac:dyDescent="0.25">
      <c r="A10" t="s">
        <v>35</v>
      </c>
    </row>
    <row r="11" spans="1:5" ht="15.75" thickBot="1" x14ac:dyDescent="0.3"/>
    <row r="12" spans="1:5" x14ac:dyDescent="0.25">
      <c r="A12" s="8" t="s">
        <v>36</v>
      </c>
      <c r="B12" s="9"/>
      <c r="C12" s="9"/>
      <c r="D12" s="9"/>
      <c r="E12" s="10"/>
    </row>
    <row r="13" spans="1:5" x14ac:dyDescent="0.25">
      <c r="A13" s="11">
        <v>1</v>
      </c>
      <c r="B13" s="12">
        <f>12.4*0.001</f>
        <v>1.2400000000000001E-2</v>
      </c>
      <c r="C13" s="12" t="s">
        <v>37</v>
      </c>
      <c r="D13" s="12"/>
      <c r="E13" s="13"/>
    </row>
    <row r="14" spans="1:5" x14ac:dyDescent="0.25">
      <c r="A14" s="11">
        <v>2</v>
      </c>
      <c r="B14" s="12">
        <v>90</v>
      </c>
      <c r="C14" s="12" t="s">
        <v>38</v>
      </c>
      <c r="D14" s="12"/>
      <c r="E14" s="13"/>
    </row>
    <row r="15" spans="1:5" x14ac:dyDescent="0.25">
      <c r="A15" s="11">
        <v>3</v>
      </c>
      <c r="B15" s="12">
        <v>0.15890000000000001</v>
      </c>
      <c r="C15" s="12" t="s">
        <v>39</v>
      </c>
      <c r="D15" s="12"/>
      <c r="E15" s="13"/>
    </row>
    <row r="16" spans="1:5" x14ac:dyDescent="0.25">
      <c r="A16" s="11">
        <v>4</v>
      </c>
      <c r="B16" s="12">
        <f>3.5*0.001</f>
        <v>3.5000000000000001E-3</v>
      </c>
      <c r="C16" s="12" t="s">
        <v>40</v>
      </c>
      <c r="D16" s="12"/>
      <c r="E16" s="13"/>
    </row>
    <row r="17" spans="1:15" x14ac:dyDescent="0.25">
      <c r="A17" s="11">
        <v>5</v>
      </c>
      <c r="B17" s="12">
        <f>22*0.001</f>
        <v>2.1999999999999999E-2</v>
      </c>
      <c r="C17" s="12" t="s">
        <v>37</v>
      </c>
      <c r="D17" s="12"/>
      <c r="E17" s="13"/>
    </row>
    <row r="18" spans="1:15" x14ac:dyDescent="0.25">
      <c r="A18" s="11">
        <v>6</v>
      </c>
      <c r="B18" s="12">
        <f>2*1000</f>
        <v>2000</v>
      </c>
      <c r="C18" s="12" t="s">
        <v>41</v>
      </c>
      <c r="D18" s="12">
        <v>30</v>
      </c>
      <c r="E18" s="13" t="s">
        <v>38</v>
      </c>
    </row>
    <row r="19" spans="1:15" ht="15.75" thickBot="1" x14ac:dyDescent="0.3">
      <c r="A19" s="14">
        <v>7</v>
      </c>
      <c r="B19" s="15">
        <v>0.5</v>
      </c>
      <c r="C19" s="15"/>
      <c r="D19" s="15"/>
      <c r="E19" s="16"/>
    </row>
    <row r="21" spans="1:15" x14ac:dyDescent="0.25">
      <c r="A21" t="s">
        <v>42</v>
      </c>
    </row>
    <row r="22" spans="1:15" ht="15.75" thickBot="1" x14ac:dyDescent="0.3">
      <c r="A22" t="s">
        <v>43</v>
      </c>
      <c r="H22" t="s">
        <v>69</v>
      </c>
    </row>
    <row r="23" spans="1:15" x14ac:dyDescent="0.25">
      <c r="B23" s="17" t="s">
        <v>44</v>
      </c>
      <c r="C23" s="18"/>
      <c r="D23" s="21">
        <v>89</v>
      </c>
      <c r="E23" s="22" t="s">
        <v>38</v>
      </c>
      <c r="H23" s="31" t="s">
        <v>61</v>
      </c>
      <c r="I23" s="32" t="s">
        <v>62</v>
      </c>
    </row>
    <row r="24" spans="1:15" x14ac:dyDescent="0.25">
      <c r="B24" s="23" t="s">
        <v>70</v>
      </c>
      <c r="C24" s="24"/>
      <c r="D24" s="12">
        <f>0.5*(D23+D18)</f>
        <v>59.5</v>
      </c>
      <c r="E24" s="13" t="s">
        <v>38</v>
      </c>
      <c r="H24" s="11"/>
      <c r="I24" s="37"/>
    </row>
    <row r="25" spans="1:15" ht="15.75" thickBot="1" x14ac:dyDescent="0.3">
      <c r="B25" s="19" t="s">
        <v>45</v>
      </c>
      <c r="C25" s="20"/>
      <c r="D25" s="15">
        <v>59.5</v>
      </c>
      <c r="E25" s="16" t="s">
        <v>38</v>
      </c>
      <c r="H25" s="35">
        <f t="array" ref="H25">MAX(IFERROR(INDEX(constantesFisicasDoAr!A:G,MATCH(Exercicio!D25,constantesFisicasDoAr!A:A,0),1),INDEX(constantesFisicasDoAr!A4:G24,MATCH(SMALL(ABS(constantesFisicasDoAr!A4:A24-Exercicio!D25),1),ABS(constantesFisicasDoAr!A4:A24-Exercicio!D25),0),1)),IFERROR(INDEX(constantesFisicasDoAr!A:G,MATCH(Exercicio!D25,constantesFisicasDoAr!A:A,0),1),INDEX(constantesFisicasDoAr!A4:G24,MATCH(SMALL(ABS(constantesFisicasDoAr!A4:A24-Exercicio!D25),2),ABS(constantesFisicasDoAr!A4:A24-Exercicio!D25),0),1)))</f>
        <v>60</v>
      </c>
      <c r="I25" s="36">
        <f t="array" ref="I25">MIN(IFERROR(INDEX(constantesFisicasDoAr!A:G,MATCH(Exercicio!D25,constantesFisicasDoAr!A:A,0),1),INDEX(constantesFisicasDoAr!A4:G24,MATCH(SMALL(ABS(constantesFisicasDoAr!A4:A24-Exercicio!D25),1),ABS(constantesFisicasDoAr!A4:A24-Exercicio!D25),0),1)),IFERROR(INDEX(constantesFisicasDoAr!A:G,MATCH(Exercicio!D25,constantesFisicasDoAr!A:A,0),1),INDEX(constantesFisicasDoAr!A4:G24,MATCH(SMALL(ABS(constantesFisicasDoAr!A4:A24-Exercicio!D25),2),ABS(constantesFisicasDoAr!A4:A24-Exercicio!D25),0),1)))</f>
        <v>55</v>
      </c>
    </row>
    <row r="26" spans="1:15" ht="15.75" thickBot="1" x14ac:dyDescent="0.3">
      <c r="H26" s="11" t="s">
        <v>63</v>
      </c>
      <c r="I26" s="37" t="s">
        <v>64</v>
      </c>
    </row>
    <row r="27" spans="1:15" x14ac:dyDescent="0.25">
      <c r="B27" s="17" t="s">
        <v>46</v>
      </c>
      <c r="C27" s="18"/>
      <c r="D27" s="18"/>
      <c r="E27" s="25">
        <f>I27+((D25-I25)/(H25-I25))*(H27-I27)</f>
        <v>1.06057</v>
      </c>
      <c r="F27" s="22" t="s">
        <v>49</v>
      </c>
      <c r="H27" s="35">
        <f>INDEX(constantesFisicasDoAr!A:G,MATCH(Exercicio!H25,constantesFisicasDoAr!A:A,0),3)</f>
        <v>1.0588</v>
      </c>
      <c r="I27" s="36">
        <f>INDEX(constantesFisicasDoAr!A:G,MATCH(Exercicio!I25,constantesFisicasDoAr!A:A,0),3)</f>
        <v>1.0765</v>
      </c>
    </row>
    <row r="28" spans="1:15" x14ac:dyDescent="0.25">
      <c r="B28" s="23" t="s">
        <v>47</v>
      </c>
      <c r="C28" s="24"/>
      <c r="D28" s="24"/>
      <c r="E28" s="26">
        <f>I29+((D25-I25)/(H25-I25))*(H29-I29)</f>
        <v>7.1910000000000002E-2</v>
      </c>
      <c r="F28" s="13" t="s">
        <v>50</v>
      </c>
      <c r="H28" s="11" t="s">
        <v>67</v>
      </c>
      <c r="I28" s="37" t="s">
        <v>68</v>
      </c>
    </row>
    <row r="29" spans="1:15" ht="15.75" thickBot="1" x14ac:dyDescent="0.3">
      <c r="B29" s="19" t="s">
        <v>48</v>
      </c>
      <c r="C29" s="20"/>
      <c r="D29" s="20"/>
      <c r="E29" s="27">
        <f>I31+((D25-I25)/(H25-I25))*(H31-I31)</f>
        <v>2.8043000000000002E-2</v>
      </c>
      <c r="F29" s="16" t="s">
        <v>51</v>
      </c>
      <c r="H29" s="35">
        <f>INDEX(constantesFisicasDoAr!A:G,MATCH(Exercicio!H25,constantesFisicasDoAr!A:A,0),2)</f>
        <v>7.1999999999999995E-2</v>
      </c>
      <c r="I29" s="36">
        <f>INDEX(constantesFisicasDoAr!A:G,MATCH(Exercicio!I25,constantesFisicasDoAr!A:A,0),2)</f>
        <v>7.1099999999999997E-2</v>
      </c>
    </row>
    <row r="30" spans="1:15" ht="15.75" thickBot="1" x14ac:dyDescent="0.3">
      <c r="H30" s="11" t="s">
        <v>65</v>
      </c>
      <c r="I30" s="37" t="s">
        <v>66</v>
      </c>
    </row>
    <row r="31" spans="1:15" ht="15.75" thickBot="1" x14ac:dyDescent="0.3">
      <c r="B31" s="17" t="s">
        <v>53</v>
      </c>
      <c r="C31" s="28">
        <f>B17*E27*B18/E28</f>
        <v>648.93728271450414</v>
      </c>
      <c r="D31" s="22"/>
      <c r="H31" s="33">
        <f>INDEX(constantesFisicasDoAr!A:G,MATCH(Exercicio!H25,constantesFisicasDoAr!A:A,0),7)</f>
        <v>2.8080000000000001E-2</v>
      </c>
      <c r="I31" s="34">
        <f>INDEX(constantesFisicasDoAr!A:G,MATCH(Exercicio!I25,constantesFisicasDoAr!A:A,0),7)</f>
        <v>2.7709999999999999E-2</v>
      </c>
    </row>
    <row r="32" spans="1:15" ht="15.75" thickBot="1" x14ac:dyDescent="0.3">
      <c r="B32" s="23" t="s">
        <v>52</v>
      </c>
      <c r="C32" s="29">
        <f>1000*(1.01+1.3507*POWER(C31,0.52)*E29*(F34-D18))</f>
        <v>65810.86467932025</v>
      </c>
      <c r="D32" s="13" t="s">
        <v>54</v>
      </c>
      <c r="K32" s="41"/>
      <c r="L32" s="42"/>
      <c r="M32" s="42"/>
      <c r="N32" s="42"/>
      <c r="O32" s="43"/>
    </row>
    <row r="33" spans="2:15" x14ac:dyDescent="0.25">
      <c r="B33" s="23" t="s">
        <v>55</v>
      </c>
      <c r="C33" s="29">
        <f>0.00017825*B17*B19*((POWER(273+F34,4)-POWER(273+D18,4)))</f>
        <v>17144.08713989125</v>
      </c>
      <c r="D33" s="13" t="s">
        <v>54</v>
      </c>
      <c r="F33" s="17" t="s">
        <v>72</v>
      </c>
      <c r="G33" s="38"/>
      <c r="K33" s="44" t="s">
        <v>74</v>
      </c>
      <c r="L33" s="40" t="s">
        <v>78</v>
      </c>
      <c r="M33" s="40"/>
      <c r="N33" s="40"/>
      <c r="O33" s="45"/>
    </row>
    <row r="34" spans="2:15" ht="15.75" thickBot="1" x14ac:dyDescent="0.3">
      <c r="B34" s="23" t="s">
        <v>56</v>
      </c>
      <c r="C34" s="29">
        <f>(B16/(2*PI()))*LN(B17/B13)</f>
        <v>3.1937796428232573E-4</v>
      </c>
      <c r="D34" s="13" t="s">
        <v>59</v>
      </c>
      <c r="F34" s="39">
        <v>89</v>
      </c>
      <c r="G34" s="16" t="s">
        <v>38</v>
      </c>
      <c r="K34" s="44"/>
      <c r="L34" s="40"/>
      <c r="M34" s="40"/>
      <c r="N34" s="40"/>
      <c r="O34" s="45"/>
    </row>
    <row r="35" spans="2:15" ht="15.75" thickBot="1" x14ac:dyDescent="0.3">
      <c r="B35" s="23" t="s">
        <v>57</v>
      </c>
      <c r="C35" s="29">
        <f>(F34-D18)+(C32+C33)*C34</f>
        <v>85.493983639158188</v>
      </c>
      <c r="D35" s="13" t="s">
        <v>38</v>
      </c>
      <c r="K35" s="44" t="s">
        <v>79</v>
      </c>
      <c r="L35" s="40" t="s">
        <v>75</v>
      </c>
      <c r="M35" s="40"/>
      <c r="N35" s="40"/>
      <c r="O35" s="45"/>
    </row>
    <row r="36" spans="2:15" x14ac:dyDescent="0.25">
      <c r="B36" s="23" t="s">
        <v>73</v>
      </c>
      <c r="C36" s="29">
        <f>D18+C35</f>
        <v>115.49398363915819</v>
      </c>
      <c r="D36" s="13" t="s">
        <v>38</v>
      </c>
      <c r="F36" s="17" t="s">
        <v>71</v>
      </c>
      <c r="G36" s="38"/>
      <c r="K36" s="44"/>
      <c r="L36" s="40"/>
      <c r="M36" s="40"/>
      <c r="N36" s="40"/>
      <c r="O36" s="45"/>
    </row>
    <row r="37" spans="2:15" ht="15.75" thickBot="1" x14ac:dyDescent="0.3">
      <c r="B37" s="23" t="s">
        <v>58</v>
      </c>
      <c r="C37" s="29">
        <f>B14-C36</f>
        <v>-25.493983639158188</v>
      </c>
      <c r="D37" s="13" t="s">
        <v>38</v>
      </c>
      <c r="F37" s="39">
        <f>0.5*(D18+C38)</f>
        <v>53.126504090210453</v>
      </c>
      <c r="G37" s="16" t="s">
        <v>38</v>
      </c>
      <c r="K37" s="44" t="s">
        <v>76</v>
      </c>
      <c r="L37" s="40" t="s">
        <v>77</v>
      </c>
      <c r="M37" s="40"/>
      <c r="N37" s="40"/>
      <c r="O37" s="45"/>
    </row>
    <row r="38" spans="2:15" ht="15.75" thickBot="1" x14ac:dyDescent="0.3">
      <c r="B38" s="19" t="s">
        <v>60</v>
      </c>
      <c r="C38" s="30">
        <f>F34+(C37)*B19</f>
        <v>76.253008180420906</v>
      </c>
      <c r="D38" s="16" t="s">
        <v>38</v>
      </c>
      <c r="K38" s="44"/>
      <c r="L38" s="40"/>
      <c r="M38" s="40"/>
      <c r="N38" s="40"/>
      <c r="O38" s="45"/>
    </row>
    <row r="39" spans="2:15" ht="15.75" thickBot="1" x14ac:dyDescent="0.3"/>
    <row r="40" spans="2:15" x14ac:dyDescent="0.25">
      <c r="B40" s="2" t="s">
        <v>25</v>
      </c>
      <c r="C40" s="3"/>
      <c r="D40" s="3"/>
      <c r="E40" s="3"/>
      <c r="F40" s="3"/>
      <c r="G40" s="3"/>
      <c r="H40" s="3"/>
      <c r="I40" s="3"/>
      <c r="J40" s="4"/>
      <c r="L40" s="53" t="s">
        <v>80</v>
      </c>
      <c r="M40" s="54"/>
    </row>
    <row r="41" spans="2:15" ht="45.75" thickBot="1" x14ac:dyDescent="0.3">
      <c r="B41" s="5" t="s">
        <v>16</v>
      </c>
      <c r="C41" s="6" t="s">
        <v>17</v>
      </c>
      <c r="D41" s="6" t="s">
        <v>18</v>
      </c>
      <c r="E41" s="6" t="s">
        <v>19</v>
      </c>
      <c r="F41" s="6" t="s">
        <v>20</v>
      </c>
      <c r="G41" s="6" t="s">
        <v>21</v>
      </c>
      <c r="H41" s="6" t="s">
        <v>22</v>
      </c>
      <c r="I41" s="6" t="s">
        <v>23</v>
      </c>
      <c r="J41" s="7" t="s">
        <v>24</v>
      </c>
      <c r="L41" s="51">
        <v>71.532445918087376</v>
      </c>
      <c r="M41" s="52" t="s">
        <v>38</v>
      </c>
    </row>
    <row r="42" spans="2:15" ht="15.75" thickBot="1" x14ac:dyDescent="0.3">
      <c r="B42" s="46">
        <v>1</v>
      </c>
      <c r="C42" s="46">
        <v>59.5</v>
      </c>
      <c r="D42" s="46">
        <v>1.06057</v>
      </c>
      <c r="E42" s="46">
        <v>7.1910000000000002E-2</v>
      </c>
      <c r="F42" s="46">
        <v>648.93728271450414</v>
      </c>
      <c r="G42" s="46">
        <v>65810.86467932025</v>
      </c>
      <c r="H42" s="46">
        <v>17144.08713989125</v>
      </c>
      <c r="I42" s="46">
        <v>115.49398363915819</v>
      </c>
      <c r="J42" s="46">
        <v>-25.493983639158188</v>
      </c>
    </row>
    <row r="43" spans="2:15" x14ac:dyDescent="0.25">
      <c r="B43" s="46">
        <v>2</v>
      </c>
      <c r="C43" s="46">
        <v>53.126504090210453</v>
      </c>
      <c r="D43" s="46">
        <v>1.0830947056024591</v>
      </c>
      <c r="E43" s="46">
        <v>7.083771057262947E-2</v>
      </c>
      <c r="F43" s="46">
        <v>672.7513729801675</v>
      </c>
      <c r="G43" s="46">
        <v>51886.145614628665</v>
      </c>
      <c r="H43" s="46">
        <v>12639.539612107415</v>
      </c>
      <c r="I43" s="46">
        <v>96.841253565903827</v>
      </c>
      <c r="J43" s="46">
        <v>-6.8412535659038269</v>
      </c>
      <c r="L43" s="48" t="s">
        <v>81</v>
      </c>
      <c r="M43" s="49"/>
    </row>
    <row r="44" spans="2:15" ht="15.75" thickBot="1" x14ac:dyDescent="0.3">
      <c r="B44" s="46">
        <v>3</v>
      </c>
      <c r="C44" s="46">
        <v>51.406272395657403</v>
      </c>
      <c r="D44" s="46">
        <v>1.0891499211672859</v>
      </c>
      <c r="E44" s="46">
        <v>7.0596878135392033E-2</v>
      </c>
      <c r="F44" s="46">
        <v>678.82033592836376</v>
      </c>
      <c r="G44" s="46">
        <v>48128.423135273821</v>
      </c>
      <c r="H44" s="46">
        <v>11513.069973594998</v>
      </c>
      <c r="I44" s="46">
        <v>91.859356698143685</v>
      </c>
      <c r="J44" s="46">
        <v>-1.8593566981436851</v>
      </c>
      <c r="L44" s="47">
        <f>IFERROR(SQRT((INDEX(B42:J200,MATCH(MAX(B42:B200),B42:B200,0),6)+INDEX(B42:J200,MATCH(MAX(B42:B200),B42:B200,0),7))/B15),"")</f>
        <v>603.24647442553237</v>
      </c>
      <c r="M44" s="50" t="s">
        <v>82</v>
      </c>
    </row>
    <row r="45" spans="2:15" x14ac:dyDescent="0.25">
      <c r="B45" s="46">
        <v>4</v>
      </c>
      <c r="C45" s="46">
        <v>50.940749846601477</v>
      </c>
      <c r="D45" s="46">
        <v>1.0907885605399628</v>
      </c>
      <c r="E45" s="46">
        <v>7.0531704978524207E-2</v>
      </c>
      <c r="F45" s="46">
        <v>680.4698210311517</v>
      </c>
      <c r="G45" s="46">
        <v>47106.733387945096</v>
      </c>
      <c r="H45" s="46">
        <v>11212.655164287689</v>
      </c>
      <c r="I45" s="46">
        <v>90.507124073176669</v>
      </c>
      <c r="J45" s="46">
        <v>-0.5071240731766693</v>
      </c>
    </row>
    <row r="46" spans="2:15" x14ac:dyDescent="0.25">
      <c r="B46" s="46">
        <v>5</v>
      </c>
      <c r="C46" s="46">
        <v>50.813817221293128</v>
      </c>
      <c r="D46" s="46">
        <v>1.0912353633810483</v>
      </c>
      <c r="E46" s="46">
        <v>7.0513934410981041E-2</v>
      </c>
      <c r="F46" s="46">
        <v>680.92011018589415</v>
      </c>
      <c r="G46" s="46">
        <v>46828.049009427545</v>
      </c>
      <c r="H46" s="46">
        <v>11131.141668916271</v>
      </c>
      <c r="I46" s="46">
        <v>90.138444731072823</v>
      </c>
      <c r="J46" s="46">
        <v>-0.1384447310728234</v>
      </c>
    </row>
    <row r="47" spans="2:15" x14ac:dyDescent="0.25">
      <c r="B47" s="46">
        <v>6</v>
      </c>
      <c r="C47" s="46">
        <v>50.779167017617908</v>
      </c>
      <c r="D47" s="46">
        <v>1.091357332097985</v>
      </c>
      <c r="E47" s="46">
        <v>7.0509083382466517E-2</v>
      </c>
      <c r="F47" s="46">
        <v>681.04307003730526</v>
      </c>
      <c r="G47" s="46">
        <v>46751.966275545157</v>
      </c>
      <c r="H47" s="46">
        <v>11108.919866910657</v>
      </c>
      <c r="I47" s="46">
        <v>90.037805098111733</v>
      </c>
      <c r="J47" s="46">
        <v>-3.7805098111732605E-2</v>
      </c>
    </row>
    <row r="48" spans="2:15" x14ac:dyDescent="0.25">
      <c r="B48" s="46">
        <v>7</v>
      </c>
      <c r="C48" s="46">
        <v>50.769705260653453</v>
      </c>
      <c r="D48" s="46">
        <v>1.0913906374825</v>
      </c>
      <c r="E48" s="46">
        <v>7.0507758736491483E-2</v>
      </c>
      <c r="F48" s="46">
        <v>681.07664900680629</v>
      </c>
      <c r="G48" s="46">
        <v>46731.190219319993</v>
      </c>
      <c r="H48" s="46">
        <v>11102.8540964945</v>
      </c>
      <c r="I48" s="46">
        <v>90.010324161487276</v>
      </c>
      <c r="J48" s="46">
        <v>-1.0324161487275774E-2</v>
      </c>
    </row>
    <row r="49" spans="2:10" x14ac:dyDescent="0.25">
      <c r="B49" s="46">
        <v>8</v>
      </c>
      <c r="C49" s="46">
        <v>50.767121370472495</v>
      </c>
      <c r="D49" s="46">
        <v>1.0913997327759368</v>
      </c>
      <c r="E49" s="46">
        <v>7.0507396991866159E-2</v>
      </c>
      <c r="F49" s="46">
        <v>681.08581923228655</v>
      </c>
      <c r="G49" s="46">
        <v>46725.516493207535</v>
      </c>
      <c r="H49" s="46">
        <v>11101.197774702143</v>
      </c>
      <c r="I49" s="46">
        <v>90.002819470342942</v>
      </c>
      <c r="J49" s="46">
        <v>-2.8194703429420542E-3</v>
      </c>
    </row>
    <row r="50" spans="2:10" x14ac:dyDescent="0.25">
      <c r="B50" s="46">
        <v>9</v>
      </c>
      <c r="C50" s="46">
        <v>50.766415725575385</v>
      </c>
      <c r="D50" s="46">
        <v>1.0914022166459747</v>
      </c>
      <c r="E50" s="46">
        <v>7.0507298201580554E-2</v>
      </c>
      <c r="F50" s="46">
        <v>681.0883235821733</v>
      </c>
      <c r="G50" s="46">
        <v>46723.967029754058</v>
      </c>
      <c r="H50" s="46">
        <v>11100.745455541937</v>
      </c>
      <c r="I50" s="46">
        <v>90.000769985496902</v>
      </c>
      <c r="J50" s="46">
        <v>-7.6998549690188156E-4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teracao">
                <anchor moveWithCells="1" sizeWithCells="1">
                  <from>
                    <xdr:col>7</xdr:col>
                    <xdr:colOff>285750</xdr:colOff>
                    <xdr:row>31</xdr:row>
                    <xdr:rowOff>152400</xdr:rowOff>
                  </from>
                  <to>
                    <xdr:col>8</xdr:col>
                    <xdr:colOff>314325</xdr:colOff>
                    <xdr:row>33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iteracaoStep">
                <anchor moveWithCells="1" sizeWithCells="1">
                  <from>
                    <xdr:col>7</xdr:col>
                    <xdr:colOff>304800</xdr:colOff>
                    <xdr:row>34</xdr:row>
                    <xdr:rowOff>142875</xdr:rowOff>
                  </from>
                  <to>
                    <xdr:col>8</xdr:col>
                    <xdr:colOff>333375</xdr:colOff>
                    <xdr:row>36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etClear">
                <anchor moveWithCells="1" sizeWithCells="1">
                  <from>
                    <xdr:col>8</xdr:col>
                    <xdr:colOff>542925</xdr:colOff>
                    <xdr:row>31</xdr:row>
                    <xdr:rowOff>142875</xdr:rowOff>
                  </from>
                  <to>
                    <xdr:col>9</xdr:col>
                    <xdr:colOff>381000</xdr:colOff>
                    <xdr:row>33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1227DA-28A8-45D6-A7CF-0BCF13886F1C}">
  <sheetPr codeName="Sheet2">
    <tabColor rgb="FF00B050"/>
  </sheetPr>
  <dimension ref="A1:G24"/>
  <sheetViews>
    <sheetView showGridLines="0" workbookViewId="0">
      <selection activeCell="C16" sqref="C16"/>
    </sheetView>
  </sheetViews>
  <sheetFormatPr defaultRowHeight="15" x14ac:dyDescent="0.25"/>
  <cols>
    <col min="1" max="1" width="12.42578125" bestFit="1" customWidth="1"/>
    <col min="2" max="2" width="11.5703125" bestFit="1" customWidth="1"/>
    <col min="3" max="3" width="9.85546875" bestFit="1" customWidth="1"/>
    <col min="4" max="4" width="18.85546875" bestFit="1" customWidth="1"/>
    <col min="5" max="5" width="17.28515625" bestFit="1" customWidth="1"/>
    <col min="6" max="6" width="9.85546875" bestFit="1" customWidth="1"/>
    <col min="7" max="7" width="15.85546875" bestFit="1" customWidth="1"/>
  </cols>
  <sheetData>
    <row r="1" spans="1:7" x14ac:dyDescent="0.25">
      <c r="A1" s="1"/>
      <c r="B1" s="1"/>
      <c r="C1" s="1" t="s">
        <v>0</v>
      </c>
      <c r="D1" s="1" t="s">
        <v>1</v>
      </c>
      <c r="E1" s="1" t="s">
        <v>2</v>
      </c>
      <c r="F1" s="1"/>
      <c r="G1" s="1"/>
    </row>
    <row r="2" spans="1:7" x14ac:dyDescent="0.25">
      <c r="A2" s="1" t="s">
        <v>3</v>
      </c>
      <c r="B2" s="1" t="s">
        <v>4</v>
      </c>
      <c r="C2" s="1"/>
      <c r="D2" s="1" t="s">
        <v>5</v>
      </c>
      <c r="E2" s="1" t="s">
        <v>6</v>
      </c>
      <c r="F2" s="1" t="s">
        <v>7</v>
      </c>
      <c r="G2" s="1" t="s">
        <v>8</v>
      </c>
    </row>
    <row r="3" spans="1:7" x14ac:dyDescent="0.25">
      <c r="A3" s="1" t="s">
        <v>9</v>
      </c>
      <c r="B3" s="1" t="s">
        <v>10</v>
      </c>
      <c r="C3" s="1" t="s">
        <v>11</v>
      </c>
      <c r="D3" s="1" t="s">
        <v>12</v>
      </c>
      <c r="E3" s="1" t="s">
        <v>13</v>
      </c>
      <c r="F3" s="1" t="s">
        <v>14</v>
      </c>
      <c r="G3" s="1" t="s">
        <v>15</v>
      </c>
    </row>
    <row r="4" spans="1:7" x14ac:dyDescent="0.25">
      <c r="A4" s="1">
        <v>0</v>
      </c>
      <c r="B4" s="1">
        <v>6.1800000000000001E-2</v>
      </c>
      <c r="C4" s="1">
        <v>1.2927</v>
      </c>
      <c r="D4" s="1">
        <v>107.49</v>
      </c>
      <c r="E4" s="1">
        <v>0.88739999999999997</v>
      </c>
      <c r="F4" s="1">
        <v>0.72889999999999999</v>
      </c>
      <c r="G4" s="1">
        <v>2.3640000000000001E-2</v>
      </c>
    </row>
    <row r="5" spans="1:7" x14ac:dyDescent="0.25">
      <c r="A5" s="1">
        <v>5</v>
      </c>
      <c r="B5" s="1">
        <v>6.2700000000000006E-2</v>
      </c>
      <c r="C5" s="1">
        <v>1.2703</v>
      </c>
      <c r="D5" s="1">
        <v>105.72</v>
      </c>
      <c r="E5" s="1">
        <v>0.873</v>
      </c>
      <c r="F5" s="1">
        <v>0.71599999999999997</v>
      </c>
      <c r="G5" s="1">
        <v>2.401E-2</v>
      </c>
    </row>
    <row r="6" spans="1:7" x14ac:dyDescent="0.25">
      <c r="A6" s="1">
        <v>10</v>
      </c>
      <c r="B6" s="1">
        <v>6.3500000000000001E-2</v>
      </c>
      <c r="C6" s="1">
        <v>1.2479</v>
      </c>
      <c r="D6" s="1">
        <v>103.8</v>
      </c>
      <c r="E6" s="1">
        <v>0.85699999999999998</v>
      </c>
      <c r="F6" s="1">
        <v>0.70320000000000005</v>
      </c>
      <c r="G6" s="1">
        <v>2.4389999999999998E-2</v>
      </c>
    </row>
    <row r="7" spans="1:7" x14ac:dyDescent="0.25">
      <c r="A7" s="1">
        <v>15</v>
      </c>
      <c r="B7" s="1">
        <v>6.4399999999999999E-2</v>
      </c>
      <c r="C7" s="1">
        <v>1.2254</v>
      </c>
      <c r="D7" s="1">
        <v>101.88</v>
      </c>
      <c r="E7" s="1">
        <v>0.84260000000000002</v>
      </c>
      <c r="F7" s="1">
        <v>0.69040000000000001</v>
      </c>
      <c r="G7" s="1">
        <v>2.4760000000000001E-2</v>
      </c>
    </row>
    <row r="8" spans="1:7" x14ac:dyDescent="0.25">
      <c r="A8" s="1">
        <v>20</v>
      </c>
      <c r="B8" s="1">
        <v>6.5299999999999997E-2</v>
      </c>
      <c r="C8" s="1">
        <v>1.2045999999999999</v>
      </c>
      <c r="D8" s="1">
        <v>100.28</v>
      </c>
      <c r="E8" s="1">
        <v>0.82820000000000005</v>
      </c>
      <c r="F8" s="1">
        <v>0.67920000000000003</v>
      </c>
      <c r="G8" s="1">
        <v>2.5139999999999999E-2</v>
      </c>
    </row>
    <row r="9" spans="1:7" x14ac:dyDescent="0.25">
      <c r="A9" s="1">
        <v>25</v>
      </c>
      <c r="B9" s="1">
        <v>6.6100000000000006E-2</v>
      </c>
      <c r="C9" s="1">
        <v>1.1854</v>
      </c>
      <c r="D9" s="1">
        <v>0.98680000000000001</v>
      </c>
      <c r="E9" s="1">
        <v>0</v>
      </c>
      <c r="F9" s="1">
        <v>6.1800000000000001E-2</v>
      </c>
      <c r="G9" s="1">
        <v>2.5510000000000001E-2</v>
      </c>
    </row>
    <row r="10" spans="1:7" x14ac:dyDescent="0.25">
      <c r="A10" s="1">
        <v>30</v>
      </c>
      <c r="B10" s="1">
        <v>6.7000000000000004E-2</v>
      </c>
      <c r="C10" s="1">
        <v>1.1662000000000001</v>
      </c>
      <c r="D10" s="1">
        <v>0.97070000000000001</v>
      </c>
      <c r="E10" s="1">
        <v>1</v>
      </c>
      <c r="F10" s="1">
        <v>6.1800000000000001E-2</v>
      </c>
      <c r="G10" s="1">
        <v>2.588E-2</v>
      </c>
    </row>
    <row r="11" spans="1:7" x14ac:dyDescent="0.25">
      <c r="A11" s="1">
        <v>35</v>
      </c>
      <c r="B11" s="1">
        <v>6.7900000000000002E-2</v>
      </c>
      <c r="C11" s="1">
        <v>1.1469</v>
      </c>
      <c r="D11" s="1">
        <v>0.95469999999999999</v>
      </c>
      <c r="E11" s="1">
        <v>2</v>
      </c>
      <c r="F11" s="1">
        <v>6.1800000000000001E-2</v>
      </c>
      <c r="G11" s="1">
        <v>2.6249999999999999E-2</v>
      </c>
    </row>
    <row r="12" spans="1:7" x14ac:dyDescent="0.25">
      <c r="A12" s="1">
        <v>40</v>
      </c>
      <c r="B12" s="1">
        <v>6.8599999999999994E-2</v>
      </c>
      <c r="C12" s="1">
        <v>1.1276999999999999</v>
      </c>
      <c r="D12" s="1">
        <v>0.96870000000000001</v>
      </c>
      <c r="E12" s="1">
        <v>3</v>
      </c>
      <c r="F12" s="1">
        <v>6.1800000000000001E-2</v>
      </c>
      <c r="G12" s="1">
        <v>2.6620000000000001E-2</v>
      </c>
    </row>
    <row r="13" spans="1:7" x14ac:dyDescent="0.25">
      <c r="A13" s="1">
        <v>45</v>
      </c>
      <c r="B13" s="1">
        <v>6.9500000000000006E-2</v>
      </c>
      <c r="C13" s="1">
        <v>1.1101000000000001</v>
      </c>
      <c r="D13" s="1">
        <v>0.92430000000000001</v>
      </c>
      <c r="E13" s="1">
        <v>4</v>
      </c>
      <c r="F13" s="1">
        <v>6.1800000000000001E-2</v>
      </c>
      <c r="G13" s="1">
        <v>2.699E-2</v>
      </c>
    </row>
    <row r="14" spans="1:7" x14ac:dyDescent="0.25">
      <c r="A14" s="1">
        <v>50</v>
      </c>
      <c r="B14" s="1">
        <v>7.0400000000000004E-2</v>
      </c>
      <c r="C14" s="1">
        <v>1.0941000000000001</v>
      </c>
      <c r="D14" s="1">
        <v>0.90990000000000004</v>
      </c>
      <c r="E14" s="1">
        <v>5</v>
      </c>
      <c r="F14" s="1">
        <v>6.1800000000000001E-2</v>
      </c>
      <c r="G14" s="1">
        <v>2.7349999999999999E-2</v>
      </c>
    </row>
    <row r="15" spans="1:7" x14ac:dyDescent="0.25">
      <c r="A15" s="1">
        <v>55</v>
      </c>
      <c r="B15" s="1">
        <v>7.1099999999999997E-2</v>
      </c>
      <c r="C15" s="1">
        <v>1.0765</v>
      </c>
      <c r="D15" s="1">
        <v>0.89539999999999997</v>
      </c>
      <c r="E15" s="1">
        <v>6</v>
      </c>
      <c r="F15" s="1">
        <v>6.1800000000000001E-2</v>
      </c>
      <c r="G15" s="1">
        <v>2.7709999999999999E-2</v>
      </c>
    </row>
    <row r="16" spans="1:7" x14ac:dyDescent="0.25">
      <c r="A16" s="1">
        <v>60</v>
      </c>
      <c r="B16" s="1">
        <v>7.1999999999999995E-2</v>
      </c>
      <c r="C16" s="1">
        <v>1.0588</v>
      </c>
      <c r="D16" s="1">
        <v>0.88100000000000001</v>
      </c>
      <c r="E16" s="1">
        <v>7</v>
      </c>
      <c r="F16" s="1">
        <v>6.1800000000000001E-2</v>
      </c>
      <c r="G16" s="1">
        <v>2.8080000000000001E-2</v>
      </c>
    </row>
    <row r="17" spans="1:7" x14ac:dyDescent="0.25">
      <c r="A17" s="1">
        <v>65</v>
      </c>
      <c r="B17" s="1">
        <v>7.2800000000000004E-2</v>
      </c>
      <c r="C17" s="1">
        <v>1.0444</v>
      </c>
      <c r="D17" s="1">
        <v>0.86819999999999997</v>
      </c>
      <c r="E17" s="1">
        <v>8</v>
      </c>
      <c r="F17" s="1">
        <v>6.1800000000000001E-2</v>
      </c>
      <c r="G17" s="1">
        <v>2.845E-2</v>
      </c>
    </row>
    <row r="18" spans="1:7" x14ac:dyDescent="0.25">
      <c r="A18" s="1">
        <v>70</v>
      </c>
      <c r="B18" s="1">
        <v>7.3499999999999996E-2</v>
      </c>
      <c r="C18" s="1">
        <v>1.03</v>
      </c>
      <c r="D18" s="1">
        <v>0.85699999999999998</v>
      </c>
      <c r="E18" s="1">
        <v>9</v>
      </c>
      <c r="F18" s="1">
        <v>6.1800000000000001E-2</v>
      </c>
      <c r="G18" s="1">
        <v>2.8809999999999999E-2</v>
      </c>
    </row>
    <row r="19" spans="1:7" x14ac:dyDescent="0.25">
      <c r="A19" s="1">
        <v>75</v>
      </c>
      <c r="B19" s="1">
        <v>7.4399999999999994E-2</v>
      </c>
      <c r="C19" s="1">
        <v>1.0156000000000001</v>
      </c>
      <c r="D19" s="1">
        <v>0.84419999999999995</v>
      </c>
      <c r="E19" s="1">
        <v>0.69840000000000002</v>
      </c>
      <c r="F19" s="1">
        <v>0.57350000000000001</v>
      </c>
      <c r="G19" s="1">
        <v>2.9170000000000001E-2</v>
      </c>
    </row>
    <row r="20" spans="1:7" x14ac:dyDescent="0.25">
      <c r="A20" s="1">
        <v>80</v>
      </c>
      <c r="B20" s="1">
        <v>7.5200000000000003E-2</v>
      </c>
      <c r="C20" s="1">
        <v>1.0044</v>
      </c>
      <c r="D20" s="1">
        <v>0.83620000000000005</v>
      </c>
      <c r="E20" s="1">
        <v>0.69040000000000001</v>
      </c>
      <c r="F20" s="1">
        <v>0.56710000000000005</v>
      </c>
      <c r="G20" s="1">
        <v>2.9530000000000001E-2</v>
      </c>
    </row>
    <row r="21" spans="1:7" x14ac:dyDescent="0.25">
      <c r="A21" s="1">
        <v>85</v>
      </c>
      <c r="B21" s="1">
        <v>7.5899999999999995E-2</v>
      </c>
      <c r="C21" s="1">
        <v>0.98680000000000001</v>
      </c>
      <c r="D21" s="1">
        <v>0.82179999999999997</v>
      </c>
      <c r="E21" s="1">
        <v>0.67759999999999998</v>
      </c>
      <c r="F21" s="1">
        <v>0.55589999999999995</v>
      </c>
      <c r="G21" s="1">
        <v>2.989E-2</v>
      </c>
    </row>
    <row r="22" spans="1:7" x14ac:dyDescent="0.25">
      <c r="A22" s="1">
        <v>90</v>
      </c>
      <c r="B22" s="1">
        <v>7.6600000000000001E-2</v>
      </c>
      <c r="C22" s="1">
        <v>0.97389999999999999</v>
      </c>
      <c r="D22" s="1">
        <v>0.8105</v>
      </c>
      <c r="E22" s="1">
        <v>0.66959999999999997</v>
      </c>
      <c r="F22" s="1">
        <v>0.5494</v>
      </c>
      <c r="G22" s="1">
        <v>3.024E-2</v>
      </c>
    </row>
    <row r="23" spans="1:7" x14ac:dyDescent="0.25">
      <c r="A23" s="1">
        <v>95</v>
      </c>
      <c r="B23" s="1">
        <v>7.7499999999999999E-2</v>
      </c>
      <c r="C23" s="1">
        <v>0.95950000000000002</v>
      </c>
      <c r="D23" s="1">
        <v>0.79769999999999996</v>
      </c>
      <c r="E23" s="1">
        <v>0.66</v>
      </c>
      <c r="F23" s="1">
        <v>0.54139999999999999</v>
      </c>
      <c r="G23" s="1">
        <v>3.0589999999999999E-2</v>
      </c>
    </row>
    <row r="24" spans="1:7" x14ac:dyDescent="0.25">
      <c r="A24" s="1">
        <v>100</v>
      </c>
      <c r="B24" s="1">
        <v>7.8299999999999995E-2</v>
      </c>
      <c r="C24" s="1">
        <v>0.94669999999999999</v>
      </c>
      <c r="D24" s="1">
        <v>0.78810000000000002</v>
      </c>
      <c r="E24" s="1">
        <v>0.65039999999999998</v>
      </c>
      <c r="F24" s="1">
        <v>0.53339999999999999</v>
      </c>
      <c r="G24" s="1">
        <v>3.0949999999999998E-2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Exercicio</vt:lpstr>
      <vt:lpstr>constantesFisicasDoAr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Evandro Fernandes Ledema</dc:creator>
  <cp:lastModifiedBy>Evandro Fernandes Ledema</cp:lastModifiedBy>
  <dcterms:created xsi:type="dcterms:W3CDTF">2021-08-06T03:00:53Z</dcterms:created>
  <dcterms:modified xsi:type="dcterms:W3CDTF">2021-08-07T07:10:09Z</dcterms:modified>
</cp:coreProperties>
</file>